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Git Hub\Nova pasta\projeto-integrador\"/>
    </mc:Choice>
  </mc:AlternateContent>
  <xr:revisionPtr revIDLastSave="0" documentId="13_ncr:1_{6E39C3A1-DB7C-4C7C-86F4-239339B527F3}" xr6:coauthVersionLast="47" xr6:coauthVersionMax="47" xr10:uidLastSave="{00000000-0000-0000-0000-000000000000}"/>
  <bookViews>
    <workbookView xWindow="-108" yWindow="-108" windowWidth="23256" windowHeight="13896" tabRatio="659" xr2:uid="{F5B9B418-5644-4E0C-84C2-B2D503BF72D5}"/>
  </bookViews>
  <sheets>
    <sheet name="Dashboard" sheetId="10" r:id="rId1"/>
    <sheet name="Produtos" sheetId="11" r:id="rId2"/>
    <sheet name="Configurações" sheetId="12" r:id="rId3"/>
    <sheet name="Template para Exportação" sheetId="13" r:id="rId4"/>
    <sheet name="Produtos por Persona" sheetId="21" r:id="rId5"/>
    <sheet name="extra - modelos" sheetId="14" r:id="rId6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1" l="1"/>
  <c r="H11" i="11"/>
  <c r="H12" i="11"/>
  <c r="H13" i="11"/>
  <c r="H14" i="11"/>
  <c r="H15" i="11"/>
  <c r="G10" i="11"/>
  <c r="G11" i="11"/>
  <c r="G12" i="11"/>
  <c r="G13" i="11"/>
  <c r="G14" i="11"/>
  <c r="G15" i="11"/>
  <c r="G6" i="10"/>
  <c r="G5" i="10"/>
  <c r="C8" i="10"/>
  <c r="G8" i="10"/>
  <c r="H8" i="10"/>
  <c r="C9" i="10"/>
  <c r="G9" i="10"/>
  <c r="H9" i="10"/>
  <c r="G10" i="10"/>
  <c r="H10" i="10"/>
  <c r="G11" i="10"/>
  <c r="H11" i="10"/>
  <c r="G2" i="11"/>
  <c r="H2" i="11"/>
  <c r="G3" i="11"/>
  <c r="H3" i="11"/>
  <c r="G4" i="11"/>
  <c r="H4" i="11"/>
  <c r="G5" i="11"/>
  <c r="H5" i="11"/>
  <c r="G6" i="11"/>
  <c r="H6" i="11"/>
  <c r="G7" i="11"/>
  <c r="H7" i="11"/>
  <c r="G8" i="11"/>
  <c r="H8" i="11"/>
  <c r="G9" i="11"/>
  <c r="H9" i="11"/>
</calcChain>
</file>

<file path=xl/sharedStrings.xml><?xml version="1.0" encoding="utf-8"?>
<sst xmlns="http://schemas.openxmlformats.org/spreadsheetml/2006/main" count="138" uniqueCount="113">
  <si>
    <t>Premium</t>
  </si>
  <si>
    <t>Categoria</t>
  </si>
  <si>
    <t>Brinquedos e Hobbies - Brinquedos de Montar - Outros</t>
  </si>
  <si>
    <t>Brinquedos e Hobbies - Brinquedos Eletrônicos - Outros</t>
  </si>
  <si>
    <t>Brinquedos e Hobbies - Brinquedos Eletrônicos - Robôs de Brinquedo</t>
  </si>
  <si>
    <t>Brinquedos e Hobbies - Componentes Eletrônicos - Acessórios e Peças - Outros</t>
  </si>
  <si>
    <t>Brinquedos e Hobbies - Componentes Eletrônicos - Placas</t>
  </si>
  <si>
    <t>Brinquedos e Hobbies - Brinquedos de Montar - Blocos e Formas de montar</t>
  </si>
  <si>
    <t>Saúde - Equipamento Médico - Ensino e Treinamento - Outros</t>
  </si>
  <si>
    <t>Câmera e Acessórios - Instrumentos Ópticos - Microscópios</t>
  </si>
  <si>
    <t>Brinquedos e Hobbies - Modelismo - Aeromodelos - Acessórios e Peças - Servos</t>
  </si>
  <si>
    <t>Componentes Eletrônicos - Interruptores - Interruptores Elétricos</t>
  </si>
  <si>
    <t>Componentes Eletrônicos - Componentes Eletrônicos - Passivos - Potenciômetros</t>
  </si>
  <si>
    <t>Informática e Acessórios - Componentes Eletrônicos - Chips Led</t>
  </si>
  <si>
    <t>Saúde - Ensino e Treinamento - Modelos Anatômicos de Órgãos</t>
  </si>
  <si>
    <t>Saúde - Ensino e Treinamento - Modelos de Esqueletos Humanos</t>
  </si>
  <si>
    <t>Painel de Precificação</t>
  </si>
  <si>
    <t>Calculadora Rápida de Preços</t>
  </si>
  <si>
    <t>Simule o preço de um novo produto</t>
  </si>
  <si>
    <t>Valor que quero receber (R$):</t>
  </si>
  <si>
    <t>Categoria do produto:</t>
  </si>
  <si>
    <t>Preço de venda anúncio clássico:</t>
  </si>
  <si>
    <t>Preço de venda anúncio premium :</t>
  </si>
  <si>
    <t>Consultar por Produto SKU</t>
  </si>
  <si>
    <t>Busque um produto existente na base</t>
  </si>
  <si>
    <t>Digite o SKU:</t>
  </si>
  <si>
    <t>Nome do Produto</t>
  </si>
  <si>
    <t>Nome do Produto:</t>
  </si>
  <si>
    <t>Preço do Produto:</t>
  </si>
  <si>
    <t>Tipo do anúncio:</t>
  </si>
  <si>
    <t>Preço de venda:</t>
  </si>
  <si>
    <t>Comissão MC ou SP</t>
  </si>
  <si>
    <t>Custo Fixo:</t>
  </si>
  <si>
    <t>Custo Total:</t>
  </si>
  <si>
    <t>Clássico</t>
  </si>
  <si>
    <t>Informações:</t>
  </si>
  <si>
    <t>Marca</t>
  </si>
  <si>
    <t>Nível</t>
  </si>
  <si>
    <t>Código SKU</t>
  </si>
  <si>
    <t>Categoria Mercado Livre/ Shopee</t>
  </si>
  <si>
    <t>Preço de Venda (Clássico)</t>
  </si>
  <si>
    <t>Preço de Venda (Premium)</t>
  </si>
  <si>
    <t>Taxa Classico (%)</t>
  </si>
  <si>
    <t>Taxa Premium (%)</t>
  </si>
  <si>
    <t>Componentes Eletrônicos - Componentes Eletrônicos - Outros</t>
  </si>
  <si>
    <t>No</t>
  </si>
  <si>
    <t>IdProduto</t>
  </si>
  <si>
    <t>ID na loja</t>
  </si>
  <si>
    <t>Código</t>
  </si>
  <si>
    <t>Preço</t>
  </si>
  <si>
    <t>Preço Promocional</t>
  </si>
  <si>
    <t>ID do Fornecedor</t>
  </si>
  <si>
    <t>ID da Marca</t>
  </si>
  <si>
    <t>Link Externo</t>
  </si>
  <si>
    <t>Nome da Loja (Multilojas)</t>
  </si>
  <si>
    <t>Tarifa de venda por categoria</t>
  </si>
  <si>
    <t>Entre 10% e 14%</t>
  </si>
  <si>
    <t>Entre 15% e 19%</t>
  </si>
  <si>
    <t>Custo Fixo</t>
  </si>
  <si>
    <t>- Os produtos de menos de R$ 12,50 não pagam esse custo *</t>
  </si>
  <si>
    <t>- R$ 6,25 em produtos entre R$ 12,50 e R$ 29,00</t>
  </si>
  <si>
    <t>- R$ 6,50 em produtos entre R$ 29,00 e R$ 50,00</t>
  </si>
  <si>
    <t>- R$ 6,75 em produtos entre R$ 50,00 e R$ 79,00</t>
  </si>
  <si>
    <t>Parcelamento</t>
  </si>
  <si>
    <t>Sem parcelamento</t>
  </si>
  <si>
    <t>Até 12x sem juros**</t>
  </si>
  <si>
    <t>Quais as diferenças entre anúncios Clássico e Premium?</t>
  </si>
  <si>
    <t>Custo fixo adicional para produtos abaixo de R$ 79,00:</t>
  </si>
  <si>
    <t>- Entre R$ 12,50  e R$ 29,00, você paga R$ 6,25 de custo por unidade vendida</t>
  </si>
  <si>
    <t>- Entre R$ 29,00  e R$ 50,00, você paga R$ 6,50 de custo por unidade vendida</t>
  </si>
  <si>
    <t>- Entre R$ 50,00  e R$ 79,00, você paga R$ 6,75 de custo por unidade vendida</t>
  </si>
  <si>
    <t>Produtos da categoria "Livros" passam a ter um custo adicional com valor diferente:</t>
  </si>
  <si>
    <t>- Até R$ 6,00, você paga metade do preço do produto por unidade vendida</t>
  </si>
  <si>
    <t>- Até R$ 12,50, você paga metade do preço do produto por unidade vendida</t>
  </si>
  <si>
    <t>- Entre R$ 6,00  e R$ 29,00, você paga R$ 3,00 de custo por unidade vendida</t>
  </si>
  <si>
    <t>- Entre R$ 29,00  e R$ 50,00, você paga R$ 3,50 de custo por unidade vendida</t>
  </si>
  <si>
    <t>- Entre R$ 50,00  e R$ 79,00, você paga R$ 4,00 de custo por unidade vendida</t>
  </si>
  <si>
    <t>Para produtos de Supermercado de até R$ 199,00, o custo fixo por unidade vendida será entre R$ 1,00 e R$ 6,00, dependendo do preço no seu anúncio</t>
  </si>
  <si>
    <t>Teste</t>
  </si>
  <si>
    <t>001.01</t>
  </si>
  <si>
    <t>Valor do Produto</t>
  </si>
  <si>
    <t>001.02</t>
  </si>
  <si>
    <t>Teste2</t>
  </si>
  <si>
    <t>SKU</t>
  </si>
  <si>
    <t>Kit de Maquiagem Básica (Base + Batom + Rímel)</t>
  </si>
  <si>
    <t>Beleza e Cuidado Pessoal - Maquiagem - Kits</t>
  </si>
  <si>
    <t>Fone de Ouvido Bluetooth</t>
  </si>
  <si>
    <t>Eletrônicos, Áudio e Vídeo - Fones de Ouvido</t>
  </si>
  <si>
    <t>Capa de Celular</t>
  </si>
  <si>
    <t>001.03</t>
  </si>
  <si>
    <t>Celulares e Telefones - Acessórios - Capas</t>
  </si>
  <si>
    <t>Televisão 50" 4K</t>
  </si>
  <si>
    <t>001.04</t>
  </si>
  <si>
    <t>Eletrônicos, Áudio e Vídeo - Televisores</t>
  </si>
  <si>
    <t>Pulseira Artesanal com Pedras Naturais</t>
  </si>
  <si>
    <t>001.05</t>
  </si>
  <si>
    <t>Joias e Relógios - Bijuterias - Pulseiras</t>
  </si>
  <si>
    <t>Power Bank 20.000mAh Importado</t>
  </si>
  <si>
    <t>001.06</t>
  </si>
  <si>
    <t>Celulares e Telefones - Acessórios - Carregadores</t>
  </si>
  <si>
    <t>001.100</t>
  </si>
  <si>
    <t>001.101</t>
  </si>
  <si>
    <t>Persona</t>
  </si>
  <si>
    <t>Produto</t>
  </si>
  <si>
    <t>Custo</t>
  </si>
  <si>
    <t>Margem</t>
  </si>
  <si>
    <t>Preco_Ideal</t>
  </si>
  <si>
    <t>Juliana – Empreendedora Solo</t>
  </si>
  <si>
    <t>Carlos – Vendedor Profissional</t>
  </si>
  <si>
    <t>Bianca – Iniciante Curiosa</t>
  </si>
  <si>
    <t>André – Vendedor Multicanal</t>
  </si>
  <si>
    <t>Patrícia – Artesã</t>
  </si>
  <si>
    <t>Roberto – Revendedor de Importados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</si>
</sst>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2"/>
      <color theme="1"/>
      <name val="Aptos"/>
      <family val="2"/>
    </font>
    <font>
      <sz val="12"/>
      <color theme="1"/>
      <name val="Aptos Narrow"/>
      <family val="2"/>
      <scheme val="minor"/>
    </font>
    <font>
      <b/>
      <sz val="11"/>
      <name val="Aptos Narrow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44" fontId="3" fillId="0" borderId="0"/>
  </cellStyleXfs>
  <cellXfs count="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5" xfId="0" quotePrefix="1" applyBorder="1" applyAlignment="1">
      <alignment horizontal="left"/>
    </xf>
    <xf numFmtId="0" fontId="0" fillId="0" borderId="6" xfId="0" applyBorder="1"/>
    <xf numFmtId="0" fontId="0" fillId="0" borderId="5" xfId="0" applyBorder="1"/>
    <xf numFmtId="44" fontId="0" fillId="0" borderId="0" xfId="1" applyFont="1"/>
    <xf numFmtId="0" fontId="4" fillId="0" borderId="0" xfId="0" applyFont="1"/>
    <xf numFmtId="0" fontId="0" fillId="0" borderId="0" xfId="0" quotePrefix="1" applyAlignment="1">
      <alignment wrapText="1"/>
    </xf>
    <xf numFmtId="0" fontId="5" fillId="0" borderId="0" xfId="0" applyFont="1"/>
    <xf numFmtId="44" fontId="3" fillId="0" borderId="0" xfId="1" applyFont="1" applyFill="1"/>
    <xf numFmtId="49" fontId="0" fillId="0" borderId="0" xfId="0" applyNumberFormat="1"/>
    <xf numFmtId="44" fontId="0" fillId="0" borderId="0" xfId="1" applyFont="1" applyFill="1"/>
    <xf numFmtId="49" fontId="6" fillId="0" borderId="0" xfId="0" applyNumberFormat="1" applyFont="1"/>
    <xf numFmtId="164" fontId="0" fillId="0" borderId="0" xfId="0" applyNumberFormat="1" applyAlignment="1">
      <alignment horizontal="center"/>
    </xf>
    <xf numFmtId="44" fontId="0" fillId="0" borderId="0" xfId="1" quotePrefix="1" applyFont="1"/>
    <xf numFmtId="7" fontId="0" fillId="0" borderId="0" xfId="0" applyNumberFormat="1"/>
    <xf numFmtId="0" fontId="7" fillId="0" borderId="0" xfId="0" applyFont="1" applyAlignment="1">
      <alignment horizontal="center" vertical="top"/>
    </xf>
    <xf numFmtId="44" fontId="0" fillId="0" borderId="0" xfId="1" applyFont="1" applyBorder="1"/>
    <xf numFmtId="0" fontId="1" fillId="0" borderId="0" xfId="0" applyFont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3" xfId="0" quotePrefix="1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5" xfId="0" quotePrefix="1" applyBorder="1" applyAlignment="1">
      <alignment horizontal="left"/>
    </xf>
    <xf numFmtId="0" fontId="0" fillId="0" borderId="0" xfId="0" quotePrefix="1" applyAlignment="1">
      <alignment horizontal="left"/>
    </xf>
    <xf numFmtId="0" fontId="0" fillId="0" borderId="6" xfId="0" quotePrefix="1" applyBorder="1" applyAlignment="1">
      <alignment horizontal="left"/>
    </xf>
    <xf numFmtId="0" fontId="1" fillId="0" borderId="5" xfId="0" quotePrefix="1" applyFont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6" xfId="0" quotePrefix="1" applyFont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left"/>
    </xf>
  </cellXfs>
  <cellStyles count="3">
    <cellStyle name="Moeda" xfId="1" builtinId="4"/>
    <cellStyle name="Moeda 2" xfId="2" xr:uid="{EEF90A5F-017E-453F-9336-437D84CE9248}"/>
    <cellStyle name="Normal" xfId="0" builtinId="0"/>
  </cellStyles>
  <dxfs count="3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228601</xdr:colOff>
      <xdr:row>13</xdr:row>
      <xdr:rowOff>7620</xdr:rowOff>
    </xdr:from>
    <xdr:to>
      <xdr:col>7</xdr:col>
      <xdr:colOff>853440</xdr:colOff>
      <xdr:row>28</xdr:row>
      <xdr:rowOff>19803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808E1D1-88FD-06E8-CA29-A8FCF1025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1" y="2369820"/>
          <a:ext cx="10789919" cy="2755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0</xdr:row>
          <xdr:rowOff>15240</xdr:rowOff>
        </xdr:from>
        <xdr:to>
          <xdr:col>11</xdr:col>
          <xdr:colOff>0</xdr:colOff>
          <xdr:row>2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Clique aqui para Exportar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4</xdr:row>
          <xdr:rowOff>7620</xdr:rowOff>
        </xdr:from>
        <xdr:to>
          <xdr:col>11</xdr:col>
          <xdr:colOff>7620</xdr:colOff>
          <xdr:row>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pasta onde salvou o arquivo C:\Dados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7</xdr:row>
          <xdr:rowOff>190500</xdr:rowOff>
        </xdr:from>
        <xdr:to>
          <xdr:col>10</xdr:col>
          <xdr:colOff>601980</xdr:colOff>
          <xdr:row>11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Exportação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EE4B6-E198-4B25-A99A-B6249A970E65}" name="tblProdutos" displayName="tblProdutos" ref="A1:H15" totalsRowShown="0" headerRowDxfId="2">
  <autoFilter ref="A1:H15" xr:uid="{EACEE4B6-E198-4B25-A99A-B6249A970E65}"/>
  <tableColumns count="8">
    <tableColumn id="1" xr3:uid="{43F31EB9-255B-4030-9A68-58A3920E73B6}" name="Marca"/>
    <tableColumn id="2" xr3:uid="{362D32A0-0357-4ED1-9842-5FD5190CB767}" name="Nível"/>
    <tableColumn id="3" xr3:uid="{198612E9-A5F3-4E4D-86AC-CD1B876DC0EC}" name="Nome do Produto"/>
    <tableColumn id="4" xr3:uid="{B3C569AA-5491-4176-B17A-9B08304A7611}" name="Código SKU"/>
    <tableColumn id="5" xr3:uid="{61C7F36B-22C4-49FE-B468-515328740AF7}" name="Valor do Produto"/>
    <tableColumn id="6" xr3:uid="{5EBB41A0-5DD6-4CB5-823B-18655150D2C5}" name="Categoria Mercado Livre/ Shopee"/>
    <tableColumn id="7" xr3:uid="{ABE9B93A-B706-4BE5-8948-653B83754F6A}" name="Preço de Venda (Clássico)" dataDxfId="1">
      <calculatedColumnFormula>IF(F2="","",(E2+IF(H2&lt;12.5,H2*0.5,IF(H2&lt;29,6.25,IF(H2&lt;50,6.5,IF(H2&lt;79,6.75,0)))))/(1-VLOOKUP(F2,Configurações!$B$3:$D$100,3,FALSE)))</calculatedColumnFormula>
    </tableColumn>
    <tableColumn id="8" xr3:uid="{4BFACF6A-5A01-4295-A6F8-E0134C18370D}" name="Preço de Venda (Premium)" dataDxfId="0">
      <calculatedColumnFormula>IF(F2="","",(E2+IF(H2&lt;12.5,H2*0.5,IF(H2&lt;29,6.25,IF(H2&lt;50,6.5,IF(H2&lt;79,6.75,0)))))/(1-VLOOKUP(F2,Configurações!$B$3:$D$100,3,FALSE)))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50744-C73C-4E31-B8FB-E0D37349FEB2}">
  <sheetPr codeName="Planilha1"/>
  <dimension ref="A1:R30"/>
  <sheetViews>
    <sheetView tabSelected="1" workbookViewId="0">
      <selection activeCell="J12" sqref="J12"/>
    </sheetView>
  </sheetViews>
  <sheetFormatPr defaultRowHeight="14.4" x14ac:dyDescent="0.3"/>
  <cols>
    <col min="1" max="1" width="3.5546875" customWidth="1"/>
    <col min="2" max="2" width="29.109375" bestFit="1" customWidth="1"/>
    <col min="3" max="3" width="49.77734375" bestFit="1" customWidth="1"/>
    <col min="6" max="6" width="31.109375" bestFit="1" customWidth="1"/>
    <col min="7" max="7" width="16.88671875" customWidth="1"/>
    <col min="8" max="8" width="17.6640625" customWidth="1"/>
  </cols>
  <sheetData>
    <row r="1" spans="1:18" x14ac:dyDescent="0.3">
      <c r="A1" s="23" t="s">
        <v>16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1"/>
      <c r="M1" s="1"/>
      <c r="N1" s="1"/>
      <c r="O1" s="1"/>
      <c r="P1" s="1"/>
      <c r="Q1" s="1"/>
      <c r="R1" s="1"/>
    </row>
    <row r="2" spans="1:18" x14ac:dyDescent="0.3">
      <c r="B2" s="1" t="s">
        <v>17</v>
      </c>
      <c r="F2" s="1" t="s">
        <v>23</v>
      </c>
    </row>
    <row r="3" spans="1:18" s="11" customFormat="1" ht="12" x14ac:dyDescent="0.25">
      <c r="B3" s="11" t="s">
        <v>18</v>
      </c>
      <c r="F3" s="11" t="s">
        <v>24</v>
      </c>
    </row>
    <row r="4" spans="1:18" x14ac:dyDescent="0.3">
      <c r="B4" t="s">
        <v>19</v>
      </c>
      <c r="C4" s="14">
        <v>100</v>
      </c>
      <c r="F4" t="s">
        <v>25</v>
      </c>
      <c r="G4" s="15" t="s">
        <v>81</v>
      </c>
    </row>
    <row r="5" spans="1:18" ht="15.6" x14ac:dyDescent="0.3">
      <c r="B5" t="s">
        <v>20</v>
      </c>
      <c r="C5" s="17" t="s">
        <v>96</v>
      </c>
      <c r="F5" t="s">
        <v>27</v>
      </c>
      <c r="G5" s="15" t="str">
        <f>IFERROR(_xlfn.XLOOKUP(G4,Produtos!D:D,Produtos!C:C, "SKU não encontrado"), "SKU não encontrado")</f>
        <v>Fone de Ouvido Bluetooth</v>
      </c>
    </row>
    <row r="6" spans="1:18" x14ac:dyDescent="0.3">
      <c r="F6" t="s">
        <v>28</v>
      </c>
      <c r="G6" s="16">
        <f>IFERROR(_xlfn.XLOOKUP(G4, Produtos!D:D, Produtos!E:E, ""), "")</f>
        <v>80</v>
      </c>
    </row>
    <row r="7" spans="1:18" x14ac:dyDescent="0.3">
      <c r="F7" t="s">
        <v>29</v>
      </c>
      <c r="G7" t="s">
        <v>34</v>
      </c>
      <c r="H7" t="s">
        <v>0</v>
      </c>
      <c r="I7" s="3"/>
    </row>
    <row r="8" spans="1:18" x14ac:dyDescent="0.3">
      <c r="B8" t="s">
        <v>21</v>
      </c>
      <c r="C8" s="16">
        <f ca="1">IF(OR(C4="",C5=""),  "", (C4 + IF(C8&lt;12.5,  C8=0.5, IF(C8&lt;29, 6.25, IF(C8&lt;50, 6.5, IF(C8&lt;79, 6.75, 0))))) / (1 - VLOOKUP(C5, Configurações!$B$3:$D$100, 2, FALSE)))</f>
        <v>112.99435028248587</v>
      </c>
      <c r="F8" t="s">
        <v>30</v>
      </c>
      <c r="G8" s="16">
        <f ca="1">IFERROR(_xlfn.XLOOKUP(G4,Produtos!D:D,Produtos!G:G, ""), "")</f>
        <v>97.560975609756085</v>
      </c>
      <c r="H8" s="16">
        <f ca="1">IFERROR(_xlfn.XLOOKUP(G4,Produtos!D:D,Produtos!H:H, ""), "")</f>
        <v>97.560975609756085</v>
      </c>
    </row>
    <row r="9" spans="1:18" x14ac:dyDescent="0.3">
      <c r="B9" t="s">
        <v>22</v>
      </c>
      <c r="C9" s="14">
        <f ca="1">IF(OR(C4="",C5=""),  "", (C4 + IF(C9&lt;12.5,  C9=0.5, IF(C9&lt;29, 6.25, IF(C9&lt;50, 6.5, IF(C9&lt;79, 6.75, 0))))) / (1 - VLOOKUP(C5, Configurações!$B$3:$D$100, 3, FALSE)))</f>
        <v>119.76047904191617</v>
      </c>
      <c r="F9" t="s">
        <v>31</v>
      </c>
      <c r="G9" s="16">
        <f ca="1">IFERROR(G8 * _xlfn.XLOOKUP( _xlfn.XLOOKUP(G4,Produtos!D:D,Produtos!F:F), Configurações!B:B, Configurações!C:C), "")</f>
        <v>12.682926829268292</v>
      </c>
      <c r="H9" s="16">
        <f ca="1">IFERROR(H8 * _xlfn.XLOOKUP( _xlfn.XLOOKUP(G4,Produtos!D:D,Produtos!F:F), Configurações!B:B, Configurações!D:D), "")</f>
        <v>17.560975609756095</v>
      </c>
      <c r="I9" s="3"/>
    </row>
    <row r="10" spans="1:18" x14ac:dyDescent="0.3">
      <c r="F10" t="s">
        <v>32</v>
      </c>
      <c r="G10" s="16">
        <f ca="1">IFERROR(IF(G8&lt;12.5, G8*0.5, IF(G8&lt;29, 6.25, IF(G8&lt;50, 6.5, IF(G8&lt;79, 6.75, 0)))),"")</f>
        <v>0</v>
      </c>
      <c r="H10" s="16">
        <f ca="1">IFERROR(IF(H8&lt;12.5, H8*0.5, IF(H8&lt;29, 6.25, IF(H8&lt;50, 6.5, IF(H8&lt;79, 6.75, 0)))),"")</f>
        <v>0</v>
      </c>
    </row>
    <row r="11" spans="1:18" x14ac:dyDescent="0.3">
      <c r="F11" t="s">
        <v>33</v>
      </c>
      <c r="G11" s="16">
        <f ca="1">G9+G10</f>
        <v>12.682926829268292</v>
      </c>
      <c r="H11" s="16">
        <f ca="1">H9+H10</f>
        <v>17.560975609756095</v>
      </c>
    </row>
    <row r="13" spans="1:18" x14ac:dyDescent="0.3">
      <c r="A13" s="23" t="s">
        <v>35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1"/>
      <c r="M13" s="1"/>
      <c r="N13" s="1"/>
      <c r="O13" s="1"/>
      <c r="P13" s="1"/>
      <c r="Q13" s="1"/>
      <c r="R13" s="1"/>
    </row>
    <row r="30" spans="3:3" x14ac:dyDescent="0.3">
      <c r="C30" s="19"/>
    </row>
  </sheetData>
  <mergeCells count="2">
    <mergeCell ref="A1:K1"/>
    <mergeCell ref="A13:K13"/>
  </mergeCells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4" yWindow="308" count="1">
        <x14:dataValidation type="list" allowBlank="1" showInputMessage="1" showErrorMessage="1" xr:uid="{FFC50C94-323A-4467-93EE-00640F59AE6F}">
          <x14:formula1>
            <xm:f>Configurações!$B$3:$B$23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119B0-0ABE-4B33-829C-0572F7B40405}">
  <sheetPr codeName="Planilha2"/>
  <dimension ref="A1:K25"/>
  <sheetViews>
    <sheetView workbookViewId="0">
      <selection activeCell="I20" sqref="I20"/>
    </sheetView>
  </sheetViews>
  <sheetFormatPr defaultRowHeight="14.4" x14ac:dyDescent="0.3"/>
  <cols>
    <col min="1" max="1" width="8" customWidth="1"/>
    <col min="2" max="2" width="7.21875" customWidth="1"/>
    <col min="3" max="3" width="17.21875" customWidth="1"/>
    <col min="4" max="4" width="12.44140625" customWidth="1"/>
    <col min="5" max="5" width="16.5546875" customWidth="1"/>
    <col min="6" max="6" width="49.77734375" bestFit="1" customWidth="1"/>
    <col min="7" max="7" width="24.44140625" customWidth="1"/>
    <col min="8" max="8" width="25" customWidth="1"/>
  </cols>
  <sheetData>
    <row r="1" spans="1:11" s="1" customFormat="1" x14ac:dyDescent="0.3">
      <c r="A1" s="1" t="s">
        <v>36</v>
      </c>
      <c r="B1" s="1" t="s">
        <v>37</v>
      </c>
      <c r="C1" s="1" t="s">
        <v>26</v>
      </c>
      <c r="D1" s="1" t="s">
        <v>38</v>
      </c>
      <c r="E1" s="1" t="s">
        <v>80</v>
      </c>
      <c r="F1" s="1" t="s">
        <v>39</v>
      </c>
      <c r="G1" s="1" t="s">
        <v>40</v>
      </c>
      <c r="H1" s="1" t="s">
        <v>41</v>
      </c>
    </row>
    <row r="2" spans="1:11" x14ac:dyDescent="0.3">
      <c r="B2">
        <v>1</v>
      </c>
      <c r="C2" s="15" t="s">
        <v>78</v>
      </c>
      <c r="D2" s="15" t="s">
        <v>100</v>
      </c>
      <c r="E2" s="10">
        <v>100</v>
      </c>
      <c r="F2" s="15" t="s">
        <v>2</v>
      </c>
      <c r="G2" s="16">
        <f ca="1">IF(F2="","",(E2+IF(H2&lt;12.5,H2*0.5,IF(H2&lt;29,6.25,IF(H2&lt;50,6.5,IF(H2&lt;79,6.75,0)))))/(1-VLOOKUP(F2,Configurações!$B$3:$D$100,3,FALSE)))</f>
        <v>119.76047904191617</v>
      </c>
      <c r="H2" s="16">
        <f ca="1">IF(F2="","",(E2+IF(H2&lt;12.5,H2*0.5,IF(H2&lt;29,6.25,IF(H2&lt;50,6.5,IF(H2&lt;79,6.75,0)))))/(1-VLOOKUP(F2,Configurações!$B$3:$D$100,3,FALSE)))</f>
        <v>119.76047904191617</v>
      </c>
    </row>
    <row r="3" spans="1:11" x14ac:dyDescent="0.3">
      <c r="B3">
        <v>1</v>
      </c>
      <c r="C3" s="15" t="s">
        <v>82</v>
      </c>
      <c r="D3" s="15" t="s">
        <v>101</v>
      </c>
      <c r="E3" s="10">
        <v>589</v>
      </c>
      <c r="F3" s="15" t="s">
        <v>6</v>
      </c>
      <c r="G3" s="16">
        <f ca="1">IF(F3="","",(E3+IF(H3&lt;12.5,H3*0.5,IF(H3&lt;29,6.25,IF(H3&lt;50,6.5,IF(H3&lt;79,6.75,0)))))/(1-VLOOKUP(F3,Configurações!$B$3:$D$100,3,FALSE)))</f>
        <v>718.29268292682923</v>
      </c>
      <c r="H3" s="16">
        <f ca="1">IF(F3="","",(E3+IF(H3&lt;12.5,H3*0.5,IF(H3&lt;29,6.25,IF(H3&lt;50,6.5,IF(H3&lt;79,6.75,0)))))/(1-VLOOKUP(F3,Configurações!$B$3:$D$100,3,FALSE)))</f>
        <v>718.29268292682923</v>
      </c>
    </row>
    <row r="4" spans="1:11" x14ac:dyDescent="0.3">
      <c r="B4">
        <v>1</v>
      </c>
      <c r="C4" s="15" t="s">
        <v>84</v>
      </c>
      <c r="D4" s="15" t="s">
        <v>79</v>
      </c>
      <c r="E4" s="10">
        <v>37</v>
      </c>
      <c r="F4" s="15" t="s">
        <v>85</v>
      </c>
      <c r="G4" s="16">
        <f ca="1">IF(F4="","",(E4+IF(H4&lt;12.5,H4*0.5,IF(H4&lt;29,6.25,IF(H4&lt;50,6.5,IF(H4&lt;79,6.75,0)))))/(1-VLOOKUP(F4,Configurações!$B$3:$D$100,3,FALSE)))</f>
        <v>52.710843373493979</v>
      </c>
      <c r="H4" s="16">
        <f ca="1">IF(F4="","",(E4+IF(H4&lt;12.5,H4*0.5,IF(H4&lt;29,6.25,IF(H4&lt;50,6.5,IF(H4&lt;79,6.75,0)))))/(1-VLOOKUP(F4,Configurações!$B$3:$D$100,3,FALSE)))</f>
        <v>52.710843373493979</v>
      </c>
    </row>
    <row r="5" spans="1:11" x14ac:dyDescent="0.3">
      <c r="B5">
        <v>1</v>
      </c>
      <c r="C5" s="15" t="s">
        <v>86</v>
      </c>
      <c r="D5" s="15" t="s">
        <v>81</v>
      </c>
      <c r="E5" s="10">
        <v>80</v>
      </c>
      <c r="F5" s="15" t="s">
        <v>87</v>
      </c>
      <c r="G5" s="16">
        <f ca="1">IF(F5="","",(E5+IF(H5&lt;12.5,H5*0.5,IF(H5&lt;29,6.25,IF(H5&lt;50,6.5,IF(H5&lt;79,6.75,0)))))/(1-VLOOKUP(F5,Configurações!$B$3:$D$100,3,FALSE)))</f>
        <v>97.560975609756085</v>
      </c>
      <c r="H5" s="16">
        <f ca="1">IF(F5="","",(E5+IF(H5&lt;12.5,H5*0.5,IF(H5&lt;29,6.25,IF(H5&lt;50,6.5,IF(H5&lt;79,6.75,0)))))/(1-VLOOKUP(F5,Configurações!$B$3:$D$100,3,FALSE)))</f>
        <v>97.560975609756085</v>
      </c>
    </row>
    <row r="6" spans="1:11" x14ac:dyDescent="0.3">
      <c r="B6">
        <v>1</v>
      </c>
      <c r="C6" s="15" t="s">
        <v>88</v>
      </c>
      <c r="D6" s="15" t="s">
        <v>89</v>
      </c>
      <c r="E6" s="10">
        <v>10</v>
      </c>
      <c r="F6" s="15" t="s">
        <v>90</v>
      </c>
      <c r="G6" s="16">
        <f ca="1">IF(F6="","",(E6+IF(H6&lt;12.5,H6*0.5,IF(H6&lt;29,6.25,IF(H6&lt;50,6.5,IF(H6&lt;79,6.75,0)))))/(1-VLOOKUP(F6,Configurações!$B$3:$D$100,3,FALSE)))</f>
        <v>19.578313253012048</v>
      </c>
      <c r="H6" s="16">
        <f ca="1">IF(F6="","",(E6+IF(H6&lt;12.5,H6*0.5,IF(H6&lt;29,6.25,IF(H6&lt;50,6.5,IF(H6&lt;79,6.75,0)))))/(1-VLOOKUP(F6,Configurações!$B$3:$D$100,3,FALSE)))</f>
        <v>19.578313253012048</v>
      </c>
    </row>
    <row r="7" spans="1:11" x14ac:dyDescent="0.3">
      <c r="B7">
        <v>1</v>
      </c>
      <c r="C7" s="15" t="s">
        <v>91</v>
      </c>
      <c r="D7" s="15" t="s">
        <v>92</v>
      </c>
      <c r="E7" s="10">
        <v>3000</v>
      </c>
      <c r="F7" s="15" t="s">
        <v>93</v>
      </c>
      <c r="G7" s="16">
        <f ca="1">IF(F7="","",(E7+IF(H7&lt;12.5,H7*0.5,IF(H7&lt;29,6.25,IF(H7&lt;50,6.5,IF(H7&lt;79,6.75,0)))))/(1-VLOOKUP(F7,Configurações!$B$3:$D$100,3,FALSE)))</f>
        <v>3658.5365853658532</v>
      </c>
      <c r="H7" s="16">
        <f ca="1">IF(F7="","",(E7+IF(H7&lt;12.5,H7*0.5,IF(H7&lt;29,6.25,IF(H7&lt;50,6.5,IF(H7&lt;79,6.75,0)))))/(1-VLOOKUP(F7,Configurações!$B$3:$D$100,3,FALSE)))</f>
        <v>3658.5365853658532</v>
      </c>
    </row>
    <row r="8" spans="1:11" x14ac:dyDescent="0.3">
      <c r="B8">
        <v>1</v>
      </c>
      <c r="C8" s="15" t="s">
        <v>94</v>
      </c>
      <c r="D8" s="15" t="s">
        <v>95</v>
      </c>
      <c r="E8" s="10">
        <v>22</v>
      </c>
      <c r="F8" s="15" t="s">
        <v>96</v>
      </c>
      <c r="G8" s="16">
        <f ca="1">IF(F8="","",(E8+IF(H8&lt;12.5,H8*0.5,IF(H8&lt;29,6.25,IF(H8&lt;50,6.5,IF(H8&lt;79,6.75,0)))))/(1-VLOOKUP(F8,Configurações!$B$3:$D$100,3,FALSE)))</f>
        <v>34.131736526946106</v>
      </c>
      <c r="H8" s="16">
        <f ca="1">IF(F8="","",(E8+IF(H8&lt;12.5,H8*0.5,IF(H8&lt;29,6.25,IF(H8&lt;50,6.5,IF(H8&lt;79,6.75,0)))))/(1-VLOOKUP(F8,Configurações!$B$3:$D$100,3,FALSE)))</f>
        <v>34.131736526946106</v>
      </c>
    </row>
    <row r="9" spans="1:11" x14ac:dyDescent="0.3">
      <c r="B9">
        <v>1</v>
      </c>
      <c r="C9" s="15" t="s">
        <v>97</v>
      </c>
      <c r="D9" s="15" t="s">
        <v>98</v>
      </c>
      <c r="E9" s="10">
        <v>102</v>
      </c>
      <c r="F9" s="15" t="s">
        <v>99</v>
      </c>
      <c r="G9" s="16">
        <f ca="1">IF(F9="","",(E9+IF(H9&lt;12.5,H9*0.5,IF(H9&lt;29,6.25,IF(H9&lt;50,6.5,IF(H9&lt;79,6.75,0)))))/(1-VLOOKUP(F9,Configurações!$B$3:$D$100,3,FALSE)))</f>
        <v>122.89156626506025</v>
      </c>
      <c r="H9" s="16">
        <f ca="1">IF(F9="","",(E9+IF(H9&lt;12.5,H9*0.5,IF(H9&lt;29,6.25,IF(H9&lt;50,6.5,IF(H9&lt;79,6.75,0)))))/(1-VLOOKUP(F9,Configurações!$B$3:$D$100,3,FALSE)))</f>
        <v>122.89156626506025</v>
      </c>
    </row>
    <row r="10" spans="1:11" x14ac:dyDescent="0.3">
      <c r="G10" s="16" t="str">
        <f>IF(F10="","",(E10+IF(H10&lt;12.5,H10*0.5,IF(H10&lt;29,6.25,IF(H10&lt;50,6.5,IF(H10&lt;79,6.75,0)))))/(1-VLOOKUP(F10,Configurações!$B$3:$D$100,3,FALSE)))</f>
        <v/>
      </c>
      <c r="H10" s="16" t="str">
        <f>IF(F10="","",(E10+IF(H10&lt;12.5,H10*0.5,IF(H10&lt;29,6.25,IF(H10&lt;50,6.5,IF(H10&lt;79,6.75,0)))))/(1-VLOOKUP(F10,Configurações!$B$3:$D$100,3,FALSE)))</f>
        <v/>
      </c>
    </row>
    <row r="11" spans="1:11" x14ac:dyDescent="0.3">
      <c r="G11" s="16" t="str">
        <f>IF(F11="","",(E11+IF(H11&lt;12.5,H11*0.5,IF(H11&lt;29,6.25,IF(H11&lt;50,6.5,IF(H11&lt;79,6.75,0)))))/(1-VLOOKUP(F11,Configurações!$B$3:$D$100,3,FALSE)))</f>
        <v/>
      </c>
      <c r="H11" s="16" t="str">
        <f>IF(F11="","",(E11+IF(H11&lt;12.5,H11*0.5,IF(H11&lt;29,6.25,IF(H11&lt;50,6.5,IF(H11&lt;79,6.75,0)))))/(1-VLOOKUP(F11,Configurações!$B$3:$D$100,3,FALSE)))</f>
        <v/>
      </c>
    </row>
    <row r="12" spans="1:11" x14ac:dyDescent="0.3">
      <c r="G12" s="16" t="str">
        <f>IF(F12="","",(E12+IF(H12&lt;12.5,H12*0.5,IF(H12&lt;29,6.25,IF(H12&lt;50,6.5,IF(H12&lt;79,6.75,0)))))/(1-VLOOKUP(F12,Configurações!$B$3:$D$100,3,FALSE)))</f>
        <v/>
      </c>
      <c r="H12" s="16" t="str">
        <f>IF(F12="","",(E12+IF(H12&lt;12.5,H12*0.5,IF(H12&lt;29,6.25,IF(H12&lt;50,6.5,IF(H12&lt;79,6.75,0)))))/(1-VLOOKUP(F12,Configurações!$B$3:$D$100,3,FALSE)))</f>
        <v/>
      </c>
    </row>
    <row r="13" spans="1:11" x14ac:dyDescent="0.3">
      <c r="G13" s="16" t="str">
        <f>IF(F13="","",(E13+IF(H13&lt;12.5,H13*0.5,IF(H13&lt;29,6.25,IF(H13&lt;50,6.5,IF(H13&lt;79,6.75,0)))))/(1-VLOOKUP(F13,Configurações!$B$3:$D$100,3,FALSE)))</f>
        <v/>
      </c>
      <c r="H13" s="16" t="str">
        <f>IF(F13="","",(E13+IF(H13&lt;12.5,H13*0.5,IF(H13&lt;29,6.25,IF(H13&lt;50,6.5,IF(H13&lt;79,6.75,0)))))/(1-VLOOKUP(F13,Configurações!$B$3:$D$100,3,FALSE)))</f>
        <v/>
      </c>
    </row>
    <row r="14" spans="1:11" x14ac:dyDescent="0.3">
      <c r="G14" s="16" t="str">
        <f>IF(F14="","",(E14+IF(H14&lt;12.5,H14*0.5,IF(H14&lt;29,6.25,IF(H14&lt;50,6.5,IF(H14&lt;79,6.75,0)))))/(1-VLOOKUP(F14,Configurações!$B$3:$D$100,3,FALSE)))</f>
        <v/>
      </c>
      <c r="H14" s="16" t="str">
        <f>IF(F14="","",(E14+IF(H14&lt;12.5,H14*0.5,IF(H14&lt;29,6.25,IF(H14&lt;50,6.5,IF(H14&lt;79,6.75,0)))))/(1-VLOOKUP(F14,Configurações!$B$3:$D$100,3,FALSE)))</f>
        <v/>
      </c>
    </row>
    <row r="15" spans="1:11" x14ac:dyDescent="0.3">
      <c r="F15" s="12"/>
      <c r="G15" s="16" t="str">
        <f>IF(F15="","",(E15+IF(H15&lt;12.5,H15*0.5,IF(H15&lt;29,6.25,IF(H15&lt;50,6.5,IF(H15&lt;79,6.75,0)))))/(1-VLOOKUP(F15,Configurações!$B$3:$D$100,3,FALSE)))</f>
        <v/>
      </c>
      <c r="H15" s="16" t="str">
        <f>IF(F15="","",(E15+IF(H15&lt;12.5,H15*0.5,IF(H15&lt;29,6.25,IF(H15&lt;50,6.5,IF(H15&lt;79,6.75,0)))))/(1-VLOOKUP(F15,Configurações!$B$3:$D$100,3,FALSE)))</f>
        <v/>
      </c>
    </row>
    <row r="16" spans="1:11" x14ac:dyDescent="0.3">
      <c r="K16" s="3"/>
    </row>
    <row r="24" spans="5:5" ht="15.6" x14ac:dyDescent="0.3">
      <c r="E24" s="13"/>
    </row>
    <row r="25" spans="5:5" x14ac:dyDescent="0.3">
      <c r="E25" s="3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rarExportacao_CSV">
                <anchor moveWithCells="1" sizeWithCells="1">
                  <from>
                    <xdr:col>9</xdr:col>
                    <xdr:colOff>30480</xdr:colOff>
                    <xdr:row>0</xdr:row>
                    <xdr:rowOff>15240</xdr:rowOff>
                  </from>
                  <to>
                    <xdr:col>11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brirPastaExportacao">
                <anchor moveWithCells="1" sizeWithCells="1">
                  <from>
                    <xdr:col>9</xdr:col>
                    <xdr:colOff>7620</xdr:colOff>
                    <xdr:row>4</xdr:row>
                    <xdr:rowOff>7620</xdr:rowOff>
                  </from>
                  <to>
                    <xdr:col>11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LimparExportacao">
                <anchor moveWithCells="1" sizeWithCells="1">
                  <from>
                    <xdr:col>8</xdr:col>
                    <xdr:colOff>594360</xdr:colOff>
                    <xdr:row>7</xdr:row>
                    <xdr:rowOff>190500</xdr:rowOff>
                  </from>
                  <to>
                    <xdr:col>10</xdr:col>
                    <xdr:colOff>601980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78D192-2ED0-40CA-97D5-74232914E221}">
          <x14:formula1>
            <xm:f>Configurações!$B$3:$B$23</xm:f>
          </x14:formula1>
          <xm:sqref>F2:F9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28F-E23F-4476-9891-C6CFEC8B8946}">
  <sheetPr codeName="Planilha3"/>
  <dimension ref="A2:E23"/>
  <sheetViews>
    <sheetView workbookViewId="0"/>
  </sheetViews>
  <sheetFormatPr defaultRowHeight="14.4" x14ac:dyDescent="0.3"/>
  <cols>
    <col min="1" max="1" width="3.33203125" bestFit="1" customWidth="1"/>
    <col min="2" max="2" width="67.44140625" bestFit="1" customWidth="1"/>
    <col min="3" max="3" width="15.5546875" bestFit="1" customWidth="1"/>
    <col min="4" max="4" width="16.109375" bestFit="1" customWidth="1"/>
  </cols>
  <sheetData>
    <row r="2" spans="1:5" x14ac:dyDescent="0.3">
      <c r="A2" s="2" t="s">
        <v>45</v>
      </c>
      <c r="B2" s="1" t="s">
        <v>1</v>
      </c>
      <c r="C2" s="1" t="s">
        <v>42</v>
      </c>
      <c r="D2" s="1" t="s">
        <v>43</v>
      </c>
    </row>
    <row r="3" spans="1:5" x14ac:dyDescent="0.3">
      <c r="A3">
        <v>1</v>
      </c>
      <c r="B3" t="s">
        <v>2</v>
      </c>
      <c r="C3" s="18">
        <v>0.115</v>
      </c>
      <c r="D3" s="18">
        <v>0.16500000000000001</v>
      </c>
    </row>
    <row r="4" spans="1:5" x14ac:dyDescent="0.3">
      <c r="A4">
        <v>2</v>
      </c>
      <c r="B4" t="s">
        <v>3</v>
      </c>
      <c r="C4" s="18">
        <v>0.115</v>
      </c>
      <c r="D4" s="18">
        <v>0.16500000000000001</v>
      </c>
    </row>
    <row r="5" spans="1:5" x14ac:dyDescent="0.3">
      <c r="A5">
        <v>3</v>
      </c>
      <c r="B5" t="s">
        <v>4</v>
      </c>
      <c r="C5" s="18">
        <v>0.115</v>
      </c>
      <c r="D5" s="18">
        <v>0.16500000000000001</v>
      </c>
    </row>
    <row r="6" spans="1:5" x14ac:dyDescent="0.3">
      <c r="A6">
        <v>4</v>
      </c>
      <c r="B6" t="s">
        <v>5</v>
      </c>
      <c r="C6" s="18">
        <v>0.13</v>
      </c>
      <c r="D6" s="18">
        <v>0.18</v>
      </c>
    </row>
    <row r="7" spans="1:5" x14ac:dyDescent="0.3">
      <c r="A7">
        <v>5</v>
      </c>
      <c r="B7" t="s">
        <v>6</v>
      </c>
      <c r="C7" s="18">
        <v>0.13</v>
      </c>
      <c r="D7" s="18">
        <v>0.18</v>
      </c>
    </row>
    <row r="8" spans="1:5" x14ac:dyDescent="0.3">
      <c r="A8">
        <v>6</v>
      </c>
      <c r="B8" t="s">
        <v>7</v>
      </c>
      <c r="C8" s="18">
        <v>0.115</v>
      </c>
      <c r="D8" s="18">
        <v>0.16500000000000001</v>
      </c>
    </row>
    <row r="9" spans="1:5" x14ac:dyDescent="0.3">
      <c r="A9">
        <v>7</v>
      </c>
      <c r="B9" t="s">
        <v>8</v>
      </c>
      <c r="C9" s="18">
        <v>0.12</v>
      </c>
      <c r="D9" s="18">
        <v>0.17</v>
      </c>
    </row>
    <row r="10" spans="1:5" x14ac:dyDescent="0.3">
      <c r="A10">
        <v>8</v>
      </c>
      <c r="B10" t="s">
        <v>9</v>
      </c>
      <c r="C10" s="18">
        <v>0.12</v>
      </c>
      <c r="D10" s="18">
        <v>0.17</v>
      </c>
    </row>
    <row r="11" spans="1:5" x14ac:dyDescent="0.3">
      <c r="A11">
        <v>9</v>
      </c>
      <c r="B11" t="s">
        <v>10</v>
      </c>
      <c r="C11" s="18">
        <v>0.115</v>
      </c>
      <c r="D11" s="18">
        <v>0.16500000000000001</v>
      </c>
    </row>
    <row r="12" spans="1:5" x14ac:dyDescent="0.3">
      <c r="A12">
        <v>10</v>
      </c>
      <c r="B12" t="s">
        <v>11</v>
      </c>
      <c r="C12" s="18">
        <v>0.12</v>
      </c>
      <c r="D12" s="18">
        <v>0.17</v>
      </c>
    </row>
    <row r="13" spans="1:5" x14ac:dyDescent="0.3">
      <c r="A13">
        <v>11</v>
      </c>
      <c r="B13" t="s">
        <v>12</v>
      </c>
      <c r="C13" s="18">
        <v>0.13</v>
      </c>
      <c r="D13" s="18">
        <v>0.18</v>
      </c>
    </row>
    <row r="14" spans="1:5" x14ac:dyDescent="0.3">
      <c r="A14">
        <v>12</v>
      </c>
      <c r="B14" t="s">
        <v>44</v>
      </c>
      <c r="C14" s="18">
        <v>0.13</v>
      </c>
      <c r="D14" s="18">
        <v>0.18</v>
      </c>
    </row>
    <row r="15" spans="1:5" x14ac:dyDescent="0.3">
      <c r="A15">
        <v>13</v>
      </c>
      <c r="B15" t="s">
        <v>13</v>
      </c>
      <c r="C15" s="18">
        <v>0.13</v>
      </c>
      <c r="D15" s="18">
        <v>0.18</v>
      </c>
    </row>
    <row r="16" spans="1:5" x14ac:dyDescent="0.3">
      <c r="A16">
        <v>14</v>
      </c>
      <c r="B16" t="s">
        <v>14</v>
      </c>
      <c r="C16" s="18">
        <v>0.12</v>
      </c>
      <c r="D16" s="18">
        <v>0.17</v>
      </c>
      <c r="E16" s="3"/>
    </row>
    <row r="17" spans="1:4" x14ac:dyDescent="0.3">
      <c r="A17">
        <v>15</v>
      </c>
      <c r="B17" t="s">
        <v>15</v>
      </c>
      <c r="C17" s="18">
        <v>0.12</v>
      </c>
      <c r="D17" s="18">
        <v>0.17</v>
      </c>
    </row>
    <row r="18" spans="1:4" x14ac:dyDescent="0.3">
      <c r="A18">
        <v>16</v>
      </c>
      <c r="B18" t="s">
        <v>85</v>
      </c>
      <c r="C18" s="18">
        <v>0.12</v>
      </c>
      <c r="D18" s="18">
        <v>0.17</v>
      </c>
    </row>
    <row r="19" spans="1:4" x14ac:dyDescent="0.3">
      <c r="A19">
        <v>17</v>
      </c>
      <c r="B19" t="s">
        <v>87</v>
      </c>
      <c r="C19" s="18">
        <v>0.13</v>
      </c>
      <c r="D19" s="18">
        <v>0.18</v>
      </c>
    </row>
    <row r="20" spans="1:4" x14ac:dyDescent="0.3">
      <c r="A20">
        <v>18</v>
      </c>
      <c r="B20" t="s">
        <v>90</v>
      </c>
      <c r="C20" s="18">
        <v>0.12</v>
      </c>
      <c r="D20" s="18">
        <v>0.17</v>
      </c>
    </row>
    <row r="21" spans="1:4" x14ac:dyDescent="0.3">
      <c r="A21">
        <v>19</v>
      </c>
      <c r="B21" t="s">
        <v>93</v>
      </c>
      <c r="C21" s="18">
        <v>0.13</v>
      </c>
      <c r="D21" s="18">
        <v>0.18</v>
      </c>
    </row>
    <row r="22" spans="1:4" x14ac:dyDescent="0.3">
      <c r="A22">
        <v>20</v>
      </c>
      <c r="B22" t="s">
        <v>96</v>
      </c>
      <c r="C22" s="18">
        <v>0.115</v>
      </c>
      <c r="D22" s="18">
        <v>0.16500000000000001</v>
      </c>
    </row>
    <row r="23" spans="1:4" x14ac:dyDescent="0.3">
      <c r="A23">
        <v>21</v>
      </c>
      <c r="B23" t="s">
        <v>99</v>
      </c>
      <c r="C23" s="18">
        <v>0.12</v>
      </c>
      <c r="D23" s="18">
        <v>0.17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50C4D-CF9D-4AAC-9B81-1FC662B1F2E2}">
  <sheetPr codeName="Planilha4"/>
  <dimension ref="A1:J3"/>
  <sheetViews>
    <sheetView workbookViewId="0">
      <selection activeCell="K2" sqref="K2"/>
    </sheetView>
  </sheetViews>
  <sheetFormatPr defaultRowHeight="14.4" x14ac:dyDescent="0.3"/>
  <cols>
    <col min="1" max="1" width="9.21875" bestFit="1" customWidth="1"/>
    <col min="2" max="2" width="8.21875" bestFit="1" customWidth="1"/>
    <col min="3" max="3" width="15.44140625" bestFit="1" customWidth="1"/>
    <col min="4" max="4" width="6.77734375" bestFit="1" customWidth="1"/>
    <col min="5" max="5" width="9" bestFit="1" customWidth="1"/>
    <col min="6" max="6" width="16.44140625" bestFit="1" customWidth="1"/>
    <col min="7" max="7" width="14.77734375" bestFit="1" customWidth="1"/>
    <col min="8" max="8" width="10.44140625" bestFit="1" customWidth="1"/>
    <col min="9" max="9" width="10.5546875" bestFit="1" customWidth="1"/>
    <col min="10" max="10" width="22.44140625" bestFit="1" customWidth="1"/>
  </cols>
  <sheetData>
    <row r="1" spans="1:10" s="1" customFormat="1" x14ac:dyDescent="0.3">
      <c r="A1" s="1" t="s">
        <v>46</v>
      </c>
      <c r="B1" s="1" t="s">
        <v>47</v>
      </c>
      <c r="C1" s="1" t="s">
        <v>26</v>
      </c>
      <c r="D1" s="1" t="s">
        <v>48</v>
      </c>
      <c r="E1" s="1" t="s">
        <v>49</v>
      </c>
      <c r="F1" s="1" t="s">
        <v>50</v>
      </c>
      <c r="G1" s="1" t="s">
        <v>51</v>
      </c>
      <c r="H1" s="1" t="s">
        <v>52</v>
      </c>
      <c r="I1" s="1" t="s">
        <v>53</v>
      </c>
      <c r="J1" s="1" t="s">
        <v>54</v>
      </c>
    </row>
    <row r="2" spans="1:10" x14ac:dyDescent="0.3">
      <c r="E2" s="20"/>
    </row>
    <row r="3" spans="1:10" x14ac:dyDescent="0.3">
      <c r="E3" s="2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84E91-68A6-481E-9A57-5733B0F37732}">
  <dimension ref="A1:F7"/>
  <sheetViews>
    <sheetView workbookViewId="0">
      <selection activeCell="D20" sqref="D20"/>
    </sheetView>
  </sheetViews>
  <sheetFormatPr defaultRowHeight="14.4" x14ac:dyDescent="0.3"/>
  <cols>
    <col min="1" max="1" width="30.6640625" bestFit="1" customWidth="1"/>
    <col min="2" max="2" width="40.109375" bestFit="1" customWidth="1"/>
    <col min="4" max="4" width="11.88671875" bestFit="1" customWidth="1"/>
    <col min="5" max="5" width="7.6640625" bestFit="1" customWidth="1"/>
    <col min="6" max="6" width="11.88671875" bestFit="1" customWidth="1"/>
  </cols>
  <sheetData>
    <row r="1" spans="1:6" x14ac:dyDescent="0.3">
      <c r="A1" s="21" t="s">
        <v>102</v>
      </c>
      <c r="B1" s="21" t="s">
        <v>103</v>
      </c>
      <c r="C1" s="21" t="s">
        <v>83</v>
      </c>
      <c r="D1" s="21" t="s">
        <v>104</v>
      </c>
      <c r="E1" s="21" t="s">
        <v>105</v>
      </c>
      <c r="F1" s="21" t="s">
        <v>106</v>
      </c>
    </row>
    <row r="2" spans="1:6" x14ac:dyDescent="0.3">
      <c r="A2" t="s">
        <v>107</v>
      </c>
      <c r="B2" t="s">
        <v>84</v>
      </c>
      <c r="C2" t="s">
        <v>79</v>
      </c>
      <c r="D2" s="22">
        <v>37</v>
      </c>
      <c r="E2">
        <v>30</v>
      </c>
      <c r="F2" s="22">
        <v>48.1</v>
      </c>
    </row>
    <row r="3" spans="1:6" x14ac:dyDescent="0.3">
      <c r="A3" t="s">
        <v>108</v>
      </c>
      <c r="B3" t="s">
        <v>86</v>
      </c>
      <c r="C3" t="s">
        <v>81</v>
      </c>
      <c r="D3" s="22">
        <v>80</v>
      </c>
      <c r="E3">
        <v>35</v>
      </c>
      <c r="F3" s="22">
        <v>108</v>
      </c>
    </row>
    <row r="4" spans="1:6" x14ac:dyDescent="0.3">
      <c r="A4" t="s">
        <v>109</v>
      </c>
      <c r="B4" t="s">
        <v>88</v>
      </c>
      <c r="C4" t="s">
        <v>89</v>
      </c>
      <c r="D4" s="22">
        <v>10</v>
      </c>
      <c r="E4">
        <v>25</v>
      </c>
      <c r="F4" s="22">
        <v>12.5</v>
      </c>
    </row>
    <row r="5" spans="1:6" x14ac:dyDescent="0.3">
      <c r="A5" t="s">
        <v>110</v>
      </c>
      <c r="B5" t="s">
        <v>91</v>
      </c>
      <c r="C5" t="s">
        <v>92</v>
      </c>
      <c r="D5" s="22">
        <v>3000</v>
      </c>
      <c r="E5">
        <v>40</v>
      </c>
      <c r="F5" s="22">
        <v>4200</v>
      </c>
    </row>
    <row r="6" spans="1:6" x14ac:dyDescent="0.3">
      <c r="A6" t="s">
        <v>111</v>
      </c>
      <c r="B6" t="s">
        <v>94</v>
      </c>
      <c r="C6" t="s">
        <v>95</v>
      </c>
      <c r="D6" s="22">
        <v>22</v>
      </c>
      <c r="E6">
        <v>45</v>
      </c>
      <c r="F6" s="22">
        <v>31.9</v>
      </c>
    </row>
    <row r="7" spans="1:6" x14ac:dyDescent="0.3">
      <c r="A7" t="s">
        <v>112</v>
      </c>
      <c r="B7" t="s">
        <v>97</v>
      </c>
      <c r="C7" t="s">
        <v>98</v>
      </c>
      <c r="D7" s="22">
        <v>102</v>
      </c>
      <c r="E7">
        <v>35</v>
      </c>
      <c r="F7" s="22">
        <v>137.69999999999999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D09F2-DAC8-4602-A31B-63AF203C7F00}">
  <sheetPr codeName="Planilha5"/>
  <dimension ref="B2:M14"/>
  <sheetViews>
    <sheetView showGridLines="0" workbookViewId="0">
      <selection activeCell="D17" sqref="D17"/>
    </sheetView>
  </sheetViews>
  <sheetFormatPr defaultRowHeight="14.4" x14ac:dyDescent="0.3"/>
  <cols>
    <col min="2" max="2" width="24.77734375" customWidth="1"/>
    <col min="3" max="3" width="26.77734375" customWidth="1"/>
    <col min="4" max="4" width="24.21875" customWidth="1"/>
    <col min="5" max="5" width="2.33203125" customWidth="1"/>
  </cols>
  <sheetData>
    <row r="2" spans="2:13" x14ac:dyDescent="0.3">
      <c r="B2" s="37" t="s">
        <v>66</v>
      </c>
      <c r="C2" s="37"/>
      <c r="D2" s="37"/>
      <c r="F2" s="24" t="s">
        <v>67</v>
      </c>
      <c r="G2" s="25"/>
      <c r="H2" s="25"/>
      <c r="I2" s="25"/>
      <c r="J2" s="25"/>
      <c r="K2" s="25"/>
      <c r="L2" s="25"/>
      <c r="M2" s="26"/>
    </row>
    <row r="3" spans="2:13" x14ac:dyDescent="0.3">
      <c r="B3" s="5"/>
      <c r="C3" s="4" t="s">
        <v>34</v>
      </c>
      <c r="D3" s="4" t="s">
        <v>0</v>
      </c>
      <c r="F3" s="30" t="s">
        <v>73</v>
      </c>
      <c r="G3" s="31"/>
      <c r="H3" s="31"/>
      <c r="I3" s="31"/>
      <c r="J3" s="31"/>
      <c r="K3" s="31"/>
      <c r="L3" s="31"/>
      <c r="M3" s="32"/>
    </row>
    <row r="4" spans="2:13" x14ac:dyDescent="0.3">
      <c r="B4" s="5" t="s">
        <v>55</v>
      </c>
      <c r="C4" s="6" t="s">
        <v>56</v>
      </c>
      <c r="D4" s="6" t="s">
        <v>57</v>
      </c>
      <c r="F4" s="30" t="s">
        <v>68</v>
      </c>
      <c r="G4" s="31"/>
      <c r="H4" s="31"/>
      <c r="I4" s="31"/>
      <c r="J4" s="31"/>
      <c r="K4" s="31"/>
      <c r="L4" s="31"/>
      <c r="M4" s="32"/>
    </row>
    <row r="5" spans="2:13" x14ac:dyDescent="0.3">
      <c r="B5" s="36" t="s">
        <v>58</v>
      </c>
      <c r="C5" s="38" t="s">
        <v>59</v>
      </c>
      <c r="D5" s="38"/>
      <c r="F5" s="30" t="s">
        <v>69</v>
      </c>
      <c r="G5" s="31"/>
      <c r="H5" s="31"/>
      <c r="I5" s="31"/>
      <c r="J5" s="31"/>
      <c r="K5" s="31"/>
      <c r="L5" s="31"/>
      <c r="M5" s="32"/>
    </row>
    <row r="6" spans="2:13" x14ac:dyDescent="0.3">
      <c r="B6" s="36"/>
      <c r="C6" s="38" t="s">
        <v>60</v>
      </c>
      <c r="D6" s="38"/>
      <c r="F6" s="30" t="s">
        <v>70</v>
      </c>
      <c r="G6" s="31"/>
      <c r="H6" s="31"/>
      <c r="I6" s="31"/>
      <c r="J6" s="31"/>
      <c r="K6" s="31"/>
      <c r="L6" s="31"/>
      <c r="M6" s="32"/>
    </row>
    <row r="7" spans="2:13" x14ac:dyDescent="0.3">
      <c r="B7" s="36"/>
      <c r="C7" s="38" t="s">
        <v>61</v>
      </c>
      <c r="D7" s="38"/>
      <c r="F7" s="7"/>
      <c r="M7" s="8"/>
    </row>
    <row r="8" spans="2:13" x14ac:dyDescent="0.3">
      <c r="B8" s="36"/>
      <c r="C8" s="38" t="s">
        <v>62</v>
      </c>
      <c r="D8" s="38"/>
      <c r="F8" s="33" t="s">
        <v>71</v>
      </c>
      <c r="G8" s="34"/>
      <c r="H8" s="34"/>
      <c r="I8" s="34"/>
      <c r="J8" s="34"/>
      <c r="K8" s="34"/>
      <c r="L8" s="34"/>
      <c r="M8" s="35"/>
    </row>
    <row r="9" spans="2:13" x14ac:dyDescent="0.3">
      <c r="B9" s="4" t="s">
        <v>63</v>
      </c>
      <c r="C9" s="6" t="s">
        <v>64</v>
      </c>
      <c r="D9" s="6" t="s">
        <v>65</v>
      </c>
      <c r="F9" s="30" t="s">
        <v>72</v>
      </c>
      <c r="G9" s="31"/>
      <c r="H9" s="31"/>
      <c r="I9" s="31"/>
      <c r="J9" s="31"/>
      <c r="K9" s="31"/>
      <c r="L9" s="31"/>
      <c r="M9" s="32"/>
    </row>
    <row r="10" spans="2:13" x14ac:dyDescent="0.3">
      <c r="F10" s="30" t="s">
        <v>74</v>
      </c>
      <c r="G10" s="31"/>
      <c r="H10" s="31"/>
      <c r="I10" s="31"/>
      <c r="J10" s="31"/>
      <c r="K10" s="31"/>
      <c r="L10" s="31"/>
      <c r="M10" s="32"/>
    </row>
    <row r="11" spans="2:13" x14ac:dyDescent="0.3">
      <c r="F11" s="30" t="s">
        <v>75</v>
      </c>
      <c r="G11" s="31"/>
      <c r="H11" s="31"/>
      <c r="I11" s="31"/>
      <c r="J11" s="31"/>
      <c r="K11" s="31"/>
      <c r="L11" s="31"/>
      <c r="M11" s="32"/>
    </row>
    <row r="12" spans="2:13" x14ac:dyDescent="0.3">
      <c r="F12" s="30" t="s">
        <v>76</v>
      </c>
      <c r="G12" s="31"/>
      <c r="H12" s="31"/>
      <c r="I12" s="31"/>
      <c r="J12" s="31"/>
      <c r="K12" s="31"/>
      <c r="L12" s="31"/>
      <c r="M12" s="32"/>
    </row>
    <row r="13" spans="2:13" x14ac:dyDescent="0.3">
      <c r="F13" s="9"/>
      <c r="M13" s="8"/>
    </row>
    <row r="14" spans="2:13" ht="28.2" customHeight="1" x14ac:dyDescent="0.3">
      <c r="F14" s="27" t="s">
        <v>77</v>
      </c>
      <c r="G14" s="28"/>
      <c r="H14" s="28"/>
      <c r="I14" s="28"/>
      <c r="J14" s="28"/>
      <c r="K14" s="28"/>
      <c r="L14" s="28"/>
      <c r="M14" s="29"/>
    </row>
  </sheetData>
  <mergeCells count="17">
    <mergeCell ref="B5:B8"/>
    <mergeCell ref="B2:D2"/>
    <mergeCell ref="C5:D5"/>
    <mergeCell ref="C6:D6"/>
    <mergeCell ref="C7:D7"/>
    <mergeCell ref="C8:D8"/>
    <mergeCell ref="F2:M2"/>
    <mergeCell ref="F14:M14"/>
    <mergeCell ref="F3:M3"/>
    <mergeCell ref="F4:M4"/>
    <mergeCell ref="F5:M5"/>
    <mergeCell ref="F6:M6"/>
    <mergeCell ref="F8:M8"/>
    <mergeCell ref="F9:M9"/>
    <mergeCell ref="F10:M10"/>
    <mergeCell ref="F11:M11"/>
    <mergeCell ref="F12:M1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3EDED-295F-4846-ABA3-33745799E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Dashboard</vt:lpstr>
      <vt:lpstr>Produtos</vt:lpstr>
      <vt:lpstr>Configurações</vt:lpstr>
      <vt:lpstr>Template para Exportação</vt:lpstr>
      <vt:lpstr>Produtos por Persona</vt:lpstr>
      <vt:lpstr>extra - modelos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MONIQUE ZORDAN</dc:creator>
  <cp:lastModifiedBy>Karen Zordan</cp:lastModifiedBy>
  <dcterms:created xsi:type="dcterms:W3CDTF">2025-11-04T19:20:12Z</dcterms:created>
  <dcterms:modified xsi:type="dcterms:W3CDTF">2025-11-19T00:06:25Z</dcterms:modified>
</cp:coreProperties>
</file>